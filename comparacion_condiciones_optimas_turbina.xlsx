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f7f225bb9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ción óptima" sheetId="1" r:id="R3c72bbd06a664309"/>
    <x:sheet xmlns:r="http://schemas.openxmlformats.org/officeDocument/2006/relationships" name="KPIs página 4" sheetId="2" r:id="R812d455168f343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b/>
      <x:sz val="16"/>
      <x:color rgb="F8FAFC"/>
      <x:name val="Carlito"/>
    </x:font>
    <x:font>
      <x:i/>
      <x:sz val="10"/>
      <x:color rgb="CBD5E1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b/>
      <x:sz val="11"/>
      <x:color rgb="0F172A"/>
      <x:name val="Carlito"/>
    </x:font>
    <x:font>
      <x:b/>
      <x:sz val="15"/>
      <x:color rgb="F8FAF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1020"/>
      </x:patternFill>
    </x:fill>
    <x:fill>
      <x:patternFill patternType="solid">
        <x:fgColor rgb="162033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047857"/>
      </x:font>
    </x:dxf>
    <x:dxf>
      <x:font>
        <x:b/>
        <x:color rgb="C2410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77de452254486" /><Relationship Type="http://schemas.openxmlformats.org/officeDocument/2006/relationships/theme" Target="/xl/theme/theme1.xml" Id="Rcdd91030049741c3" /><Relationship Type="http://schemas.openxmlformats.org/officeDocument/2006/relationships/sharedStrings" Target="/xl/sharedStrings.xml" Id="Rf0e66477279a4512" /><Relationship Type="http://schemas.openxmlformats.org/officeDocument/2006/relationships/worksheet" Target="/xl/worksheets/sheet1.xml" Id="R3c72bbd06a664309" /><Relationship Type="http://schemas.openxmlformats.org/officeDocument/2006/relationships/worksheet" Target="/xl/worksheets/sheet2.xml" Id="R812d455168f343b9" /></Relationships>
</file>

<file path=xl/tables/table1.xml><?xml version="1.0" encoding="utf-8"?>
<x:table xmlns:x="http://schemas.openxmlformats.org/spreadsheetml/2006/main" id="1" name="TablaComparacionOptima" displayName="TablaComparacionOptima" ref="A4:G10" headerRowCount="1">
  <x:tableColumns count="7">
    <x:tableColumn id="1" name="Variable"/>
    <x:tableColumn id="2" name="Unidad"/>
    <x:tableColumn id="3" name="Promedio_Global"/>
    <x:tableColumn id="4" name="Promedio_Optimo"/>
    <x:tableColumn id="5" name="Diferencia"/>
    <x:tableColumn id="6" name="Lectura"/>
    <x:tableColumn id="7" name="Uso en dashboard"/>
  </x:tableColumns>
  <x:tableStyleInfo name="TableStyleMedium2" showRowStripes="1"/>
</x:table>
</file>

<file path=xl/tables/table2.xml><?xml version="1.0" encoding="utf-8"?>
<x:table xmlns:x="http://schemas.openxmlformats.org/spreadsheetml/2006/main" id="2" name="TablaKPIsPagina4" displayName="TablaKPIsPagina4" ref="A3:E8" headerRowCount="1">
  <x:tableColumns count="5">
    <x:tableColumn id="1" name="KPI"/>
    <x:tableColumn id="2" name="Valor"/>
    <x:tableColumn id="3" name="Unidad"/>
    <x:tableColumn id="4" name="Interpretación"/>
    <x:tableColumn id="5" name="Color recomend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034621485046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88f0d602c84a5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14" hidden="0" customWidth="1"/>
    <x:col min="6" max="6" width="28" hidden="0" customWidth="1"/>
    <x:col min="7" max="7" width="34" hidden="0" customWidth="1"/>
  </x:cols>
  <x:sheetData>
    <x:row r="1" ht="28" customHeight="1">
      <x:c r="A1" s="5" t="str">
        <x:v>Comparación: Promedio Global vs Promedio Óptimo</x:v>
      </x:c>
      <x:c r="B1" s="5"/>
      <x:c r="C1" s="5"/>
      <x:c r="D1" s="5"/>
      <x:c r="E1" s="5"/>
      <x:c r="F1" s="5"/>
      <x:c r="G1" s="5"/>
    </x:row>
    <x:row r="2" ht="22" customHeight="1">
      <x:c r="A2" s="12" t="str">
        <x:v>Datos calculados a partir del subconjunto con condicion_optima = 1 en el notebook final.</x:v>
      </x:c>
      <x:c r="B2" s="12"/>
      <x:c r="C2" s="12"/>
      <x:c r="D2" s="12"/>
      <x:c r="E2" s="12"/>
      <x:c r="F2" s="12"/>
      <x:c r="G2" s="12"/>
    </x:row>
    <x:row r="4">
      <x:c r="A4" s="18" t="str">
        <x:v>Variable</x:v>
      </x:c>
      <x:c r="B4" s="18" t="str">
        <x:v>Unidad</x:v>
      </x:c>
      <x:c r="C4" s="18" t="str">
        <x:v>Promedio_Global</x:v>
      </x:c>
      <x:c r="D4" s="18" t="str">
        <x:v>Promedio_Optimo</x:v>
      </x:c>
      <x:c r="E4" s="18" t="str">
        <x:v>Diferencia</x:v>
      </x:c>
      <x:c r="F4" s="18" t="str">
        <x:v>Lectura</x:v>
      </x:c>
      <x:c r="G4" s="18" t="str">
        <x:v>Uso en dashboard</x:v>
      </x:c>
    </x:row>
    <x:row r="5">
      <x:c r="A5" s="32" t="str">
        <x:v>TEY</x:v>
      </x:c>
      <x:c r="B5" s="28" t="str">
        <x:v>MWh</x:v>
      </x:c>
      <x:c r="C5" s="30" t="n">
        <x:v>133.506404</x:v>
      </x:c>
      <x:c r="D5" s="30" t="n">
        <x:v>150.063133</x:v>
      </x:c>
      <x:c r="E5" s="30" t="n">
        <x:f>D5-C5</x:f>
        <x:v>16.55672899999999</x:v>
      </x:c>
      <x:c r="F5" s="28" t="str">
        <x:v>Mayor generación</x:v>
      </x:c>
      <x:c r="G5" s="28" t="str">
        <x:v>Eficiencia energética</x:v>
      </x:c>
    </x:row>
    <x:row r="6">
      <x:c r="A6" s="32" t="str">
        <x:v>CO</x:v>
      </x:c>
      <x:c r="B6" s="28" t="str">
        <x:v>mg/m³</x:v>
      </x:c>
      <x:c r="C6" s="30" t="n">
        <x:v>2.372468</x:v>
      </x:c>
      <x:c r="D6" s="30" t="n">
        <x:v>0.763746</x:v>
      </x:c>
      <x:c r="E6" s="30" t="n">
        <x:f>D6-C6</x:f>
        <x:v>-1.608722</x:v>
      </x:c>
      <x:c r="F6" s="28" t="str">
        <x:v>Menor emisión</x:v>
      </x:c>
      <x:c r="G6" s="28" t="str">
        <x:v>Beneficio ambiental</x:v>
      </x:c>
    </x:row>
    <x:row r="7">
      <x:c r="A7" s="32" t="str">
        <x:v>NOX</x:v>
      </x:c>
      <x:c r="B7" s="28" t="str">
        <x:v>mg/m³</x:v>
      </x:c>
      <x:c r="C7" s="30" t="n">
        <x:v>65.293067</x:v>
      </x:c>
      <x:c r="D7" s="30" t="n">
        <x:v>53.383425</x:v>
      </x:c>
      <x:c r="E7" s="30" t="n">
        <x:f>D7-C7</x:f>
        <x:v>-11.909641999999991</x:v>
      </x:c>
      <x:c r="F7" s="28" t="str">
        <x:v>Menor emisión</x:v>
      </x:c>
      <x:c r="G7" s="28" t="str">
        <x:v>Beneficio ambiental</x:v>
      </x:c>
    </x:row>
    <x:row r="8">
      <x:c r="A8" s="32" t="str">
        <x:v>TIT</x:v>
      </x:c>
      <x:c r="B8" s="28" t="str">
        <x:v>°C</x:v>
      </x:c>
      <x:c r="C8" s="30" t="n">
        <x:v>1081.428084</x:v>
      </x:c>
      <x:c r="D8" s="30" t="n">
        <x:v>1099.887197</x:v>
      </x:c>
      <x:c r="E8" s="30" t="n">
        <x:f>D8-C8</x:f>
        <x:v>18.459113000000116</x:v>
      </x:c>
      <x:c r="F8" s="28" t="str">
        <x:v>Mayor temperatura asociada</x:v>
      </x:c>
      <x:c r="G8" s="28" t="str">
        <x:v>Condición térmica asociada</x:v>
      </x:c>
    </x:row>
    <x:row r="9">
      <x:c r="A9" s="32" t="str">
        <x:v>CDP</x:v>
      </x:c>
      <x:c r="B9" s="28" t="str">
        <x:v>mbar</x:v>
      </x:c>
      <x:c r="C9" s="30" t="n">
        <x:v>12.060525</x:v>
      </x:c>
      <x:c r="D9" s="30" t="n">
        <x:v>13.364341</x:v>
      </x:c>
      <x:c r="E9" s="30" t="n">
        <x:f>D9-C9</x:f>
        <x:v>1.3038159999999994</x:v>
      </x:c>
      <x:c r="F9" s="28" t="str">
        <x:v>Mayor presión asociada</x:v>
      </x:c>
      <x:c r="G9" s="28" t="str">
        <x:v>Condición de presión asociada</x:v>
      </x:c>
    </x:row>
    <x:row r="10">
      <x:c r="A10" s="32" t="str">
        <x:v>GTEP</x:v>
      </x:c>
      <x:c r="B10" s="28" t="str">
        <x:v>mbar</x:v>
      </x:c>
      <x:c r="C10" s="30" t="n">
        <x:v>25.563801</x:v>
      </x:c>
      <x:c r="D10" s="30" t="n">
        <x:v>30.73229</x:v>
      </x:c>
      <x:c r="E10" s="30" t="n">
        <x:f>D10-C10</x:f>
        <x:v>5.1684889999999974</x:v>
      </x:c>
      <x:c r="F10" s="28" t="str">
        <x:v>Presión operativa clave</x:v>
      </x:c>
      <x:c r="G10" s="28" t="str">
        <x:v>Presión operativa relevante</x:v>
      </x:c>
    </x:row>
  </x:sheetData>
  <x:mergeCells>
    <x:mergeCell ref="A1:G1"/>
    <x:mergeCell ref="A2:G2"/>
  </x:mergeCells>
  <x:conditionalFormatting sqref="E5:E10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034621485046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44" hidden="0" customWidth="1"/>
    <x:col min="5" max="5" width="22" hidden="0" customWidth="1"/>
  </x:cols>
  <x:sheetData>
    <x:row r="1">
      <x:c r="A1" s="35" t="str">
        <x:v>KPIs recomendados para Página 4 — Optimal Operating Conditions</x:v>
      </x:c>
      <x:c r="B1" s="35"/>
      <x:c r="C1" s="35"/>
      <x:c r="D1" s="35"/>
      <x:c r="E1" s="35"/>
    </x:row>
    <x:row r="3">
      <x:c r="A3" s="17" t="str">
        <x:v>KPI</x:v>
      </x:c>
      <x:c r="B3" s="17" t="str">
        <x:v>Valor</x:v>
      </x:c>
      <x:c r="C3" s="17" t="str">
        <x:v>Unidad</x:v>
      </x:c>
      <x:c r="D3" s="17" t="str">
        <x:v>Interpretación</x:v>
      </x:c>
      <x:c r="E3" s="17" t="str">
        <x:v>Color recomendado</x:v>
      </x:c>
    </x:row>
    <x:row r="4">
      <x:c r="A4" s="40" t="str">
        <x:v>Observaciones óptimas</x:v>
      </x:c>
      <x:c r="B4" s="41" t="n">
        <x:v>1031</x:v>
      </x:c>
      <x:c r="C4" s="40" t="str">
        <x:v>registros</x:v>
      </x:c>
      <x:c r="D4" s="40" t="str">
        <x:v>Tamaño del subconjunto favorable</x:v>
      </x:c>
      <x:c r="E4" s="40" t="str">
        <x:v>#22C55E</x:v>
      </x:c>
    </x:row>
    <x:row r="5">
      <x:c r="A5" s="40" t="str">
        <x:v>TEY óptimo promedio</x:v>
      </x:c>
      <x:c r="B5" s="41" t="n">
        <x:v>150.063133</x:v>
      </x:c>
      <x:c r="C5" s="40" t="str">
        <x:v>MWh</x:v>
      </x:c>
      <x:c r="D5" s="40" t="str">
        <x:v>Generación media bajo condiciones óptimas</x:v>
      </x:c>
      <x:c r="E5" s="40" t="str">
        <x:v>#22D3EE / #10B981</x:v>
      </x:c>
    </x:row>
    <x:row r="6">
      <x:c r="A6" s="40" t="str">
        <x:v>CO óptimo promedio</x:v>
      </x:c>
      <x:c r="B6" s="41" t="n">
        <x:v>0.763746</x:v>
      </x:c>
      <x:c r="C6" s="40" t="str">
        <x:v>mg/m³</x:v>
      </x:c>
      <x:c r="D6" s="40" t="str">
        <x:v>Emisión media de CO en condiciones óptimas</x:v>
      </x:c>
      <x:c r="E6" s="40" t="str">
        <x:v>#FB923C</x:v>
      </x:c>
    </x:row>
    <x:row r="7">
      <x:c r="A7" s="40" t="str">
        <x:v>NOX óptimo promedio</x:v>
      </x:c>
      <x:c r="B7" s="41" t="n">
        <x:v>53.383425</x:v>
      </x:c>
      <x:c r="C7" s="40" t="str">
        <x:v>mg/m³</x:v>
      </x:c>
      <x:c r="D7" s="40" t="str">
        <x:v>Emisión media de NOX en condiciones óptimas</x:v>
      </x:c>
      <x:c r="E7" s="40" t="str">
        <x:v>#D946EF</x:v>
      </x:c>
    </x:row>
    <x:row r="8">
      <x:c r="A8" s="40" t="str">
        <x:v>Mejora TEY vs global</x:v>
      </x:c>
      <x:c r="B8" s="41" t="n">
        <x:v>16.556729</x:v>
      </x:c>
      <x:c r="C8" s="40" t="str">
        <x:v>MWh</x:v>
      </x:c>
      <x:c r="D8" s="40" t="str">
        <x:v>Incremento medio frente al dataset completo</x:v>
      </x:c>
      <x:c r="E8" s="40" t="str">
        <x:v>#34D399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b88f0d602c84a52"/>
  </x:tableParts>
</x:worksheet>
</file>